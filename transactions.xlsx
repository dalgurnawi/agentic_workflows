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l-gurnawi/Documents/data_science/agentic_test/"/>
    </mc:Choice>
  </mc:AlternateContent>
  <xr:revisionPtr revIDLastSave="0" documentId="8_{E3E47BFB-EB34-ED45-B2CF-DEEE172414EA}" xr6:coauthVersionLast="47" xr6:coauthVersionMax="47" xr10:uidLastSave="{00000000-0000-0000-0000-000000000000}"/>
  <bookViews>
    <workbookView xWindow="34400" yWindow="640" windowWidth="34400" windowHeight="28180" activeTab="5" xr2:uid="{A52D9AD8-0393-0A4D-90C8-B93F7153FAEC}"/>
  </bookViews>
  <sheets>
    <sheet name="Financial Statements" sheetId="1" state="hidden" r:id="rId1"/>
    <sheet name="Transaction Listing" sheetId="2" state="hidden" r:id="rId2"/>
    <sheet name="Sheet5" sheetId="5" state="hidden" r:id="rId3"/>
    <sheet name="Accounts receivable ledger" sheetId="3" r:id="rId4"/>
    <sheet name="Customers" sheetId="4" r:id="rId5"/>
    <sheet name="Bank statement" sheetId="6" r:id="rId6"/>
  </sheets>
  <calcPr calcId="18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1" i="1"/>
  <c r="D30" i="1"/>
  <c r="D27" i="1"/>
  <c r="D15" i="1"/>
  <c r="D17" i="1" s="1"/>
  <c r="D6" i="1"/>
  <c r="D9" i="1" s="1"/>
</calcChain>
</file>

<file path=xl/sharedStrings.xml><?xml version="1.0" encoding="utf-8"?>
<sst xmlns="http://schemas.openxmlformats.org/spreadsheetml/2006/main" count="153" uniqueCount="113">
  <si>
    <t>Current Assets</t>
  </si>
  <si>
    <t>Cash and cash equivalents</t>
  </si>
  <si>
    <t>Accounts receivable</t>
  </si>
  <si>
    <t>Prepaid expenses and other current assets</t>
  </si>
  <si>
    <t>Total current assets</t>
  </si>
  <si>
    <t>Property and equipment, net</t>
  </si>
  <si>
    <t>Intangible assets, net</t>
  </si>
  <si>
    <t>Total assets</t>
  </si>
  <si>
    <t>Current liabilities</t>
  </si>
  <si>
    <t>Accounts payable</t>
  </si>
  <si>
    <t>Accrued and other current liabilities</t>
  </si>
  <si>
    <t>Short-term debt</t>
  </si>
  <si>
    <t>Long-term debt</t>
  </si>
  <si>
    <t>Total current liabilities</t>
  </si>
  <si>
    <t>Total liabilities</t>
  </si>
  <si>
    <t>Equity</t>
  </si>
  <si>
    <t>Common stock</t>
  </si>
  <si>
    <t>Retained earnings</t>
  </si>
  <si>
    <t>Revenue</t>
  </si>
  <si>
    <t>Gross Profit</t>
  </si>
  <si>
    <t>Research and development</t>
  </si>
  <si>
    <t>Sales, general and administrative</t>
  </si>
  <si>
    <t>Total operating expenses</t>
  </si>
  <si>
    <t>Interest income</t>
  </si>
  <si>
    <t>Interest expense</t>
  </si>
  <si>
    <t>Income tax</t>
  </si>
  <si>
    <t>Net income</t>
  </si>
  <si>
    <t>Additional paid-in capital</t>
  </si>
  <si>
    <t>Operating Income</t>
  </si>
  <si>
    <t>Date</t>
  </si>
  <si>
    <t>Customer No.</t>
  </si>
  <si>
    <t>Invoice No.</t>
  </si>
  <si>
    <t>Amount</t>
  </si>
  <si>
    <t>Due Date</t>
  </si>
  <si>
    <t>Custome Name</t>
  </si>
  <si>
    <t>Payment</t>
  </si>
  <si>
    <t>Payment Date</t>
  </si>
  <si>
    <t>Payment ID</t>
  </si>
  <si>
    <t>05.01.2025</t>
  </si>
  <si>
    <t>Planet Express</t>
  </si>
  <si>
    <t>05.02.2025</t>
  </si>
  <si>
    <t>09.01.2025</t>
  </si>
  <si>
    <t>Mom's Friendly Robot Factory</t>
  </si>
  <si>
    <t>09.02.2025</t>
  </si>
  <si>
    <t>10.01.2025</t>
  </si>
  <si>
    <t>Romanticorp</t>
  </si>
  <si>
    <t>10.02.2025</t>
  </si>
  <si>
    <t>18.01.2025</t>
  </si>
  <si>
    <t>Hal Insitute for Criminally Insane Robots</t>
  </si>
  <si>
    <t>18.02.2025</t>
  </si>
  <si>
    <t>21.01.2025</t>
  </si>
  <si>
    <t>Cookieville Minimum-Security Orphanarium</t>
  </si>
  <si>
    <t>21.02.2025</t>
  </si>
  <si>
    <t>29.01.2025</t>
  </si>
  <si>
    <t>Panucci's Pizza</t>
  </si>
  <si>
    <t>29.02.2025</t>
  </si>
  <si>
    <t>02.03.2025</t>
  </si>
  <si>
    <t>02.02.2025</t>
  </si>
  <si>
    <t>03.02.2025</t>
  </si>
  <si>
    <t>Malfunctioning Eddie's Rocket-Car Emporium</t>
  </si>
  <si>
    <t>03.03.2025</t>
  </si>
  <si>
    <t>07.02.2025</t>
  </si>
  <si>
    <t>07.03.2025</t>
  </si>
  <si>
    <t>10.03.2025</t>
  </si>
  <si>
    <t>15.02.2025</t>
  </si>
  <si>
    <t>15.03.2025</t>
  </si>
  <si>
    <t>Democratic Order of Planets</t>
  </si>
  <si>
    <t>18.03.2025</t>
  </si>
  <si>
    <t>Grand Total</t>
  </si>
  <si>
    <t>11900 Total</t>
  </si>
  <si>
    <t>12000 Total</t>
  </si>
  <si>
    <t>12001 Total</t>
  </si>
  <si>
    <t>12010 Total</t>
  </si>
  <si>
    <t>12038 Total</t>
  </si>
  <si>
    <t>12230 Total</t>
  </si>
  <si>
    <t>12933 Total</t>
  </si>
  <si>
    <t>12990 Total</t>
  </si>
  <si>
    <t>Customer nr</t>
  </si>
  <si>
    <t>Customer Name</t>
  </si>
  <si>
    <t>Start</t>
  </si>
  <si>
    <t>End</t>
  </si>
  <si>
    <t>Terms</t>
  </si>
  <si>
    <t>Discounts</t>
  </si>
  <si>
    <t>01.03.2024</t>
  </si>
  <si>
    <t>25.03.2023</t>
  </si>
  <si>
    <t>12.12.2024</t>
  </si>
  <si>
    <t>31.01.2025</t>
  </si>
  <si>
    <t>25.06.2024</t>
  </si>
  <si>
    <t>18.08.2022</t>
  </si>
  <si>
    <t>13.10.2024</t>
  </si>
  <si>
    <t>31.12.2024</t>
  </si>
  <si>
    <t>20.09.2024</t>
  </si>
  <si>
    <t>14.02.2024</t>
  </si>
  <si>
    <t>None</t>
  </si>
  <si>
    <t>Entry Number</t>
  </si>
  <si>
    <t>Transaction ID</t>
  </si>
  <si>
    <t>Payment Amount</t>
  </si>
  <si>
    <t>Payment Reference</t>
  </si>
  <si>
    <t>12038 - 1 - We'll pay the rest later</t>
  </si>
  <si>
    <t>20.01.2025</t>
  </si>
  <si>
    <t>Customer Nr 12000 - Invoice Nr 2 - Mom's</t>
  </si>
  <si>
    <t>01.02.2025</t>
  </si>
  <si>
    <t>12010 - 4</t>
  </si>
  <si>
    <t xml:space="preserve">11900  - 5 </t>
  </si>
  <si>
    <t>12990  - Invoice Nr. 3</t>
  </si>
  <si>
    <t>14.02.2025</t>
  </si>
  <si>
    <t>12038 - 1 - Second payment</t>
  </si>
  <si>
    <t>12933 - 6 - Grazie</t>
  </si>
  <si>
    <t>28.02.2025</t>
  </si>
  <si>
    <t>01.03.2025</t>
  </si>
  <si>
    <t>A little something for your troubles</t>
  </si>
  <si>
    <t>13.03.2025</t>
  </si>
  <si>
    <t>11900 -10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</si>
</sst>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pivotButt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l-Gurnawi" refreshedDate="45992.662668865742" createdVersion="8" refreshedVersion="8" minRefreshableVersion="3" recordCount="14" xr:uid="{3FC61183-4C55-134F-A1C1-AE6FDFD31159}">
  <cacheSource type="worksheet">
    <worksheetSource ref="C1:D15" sheet="Accounts receivable ledger"/>
  </cacheSource>
  <cacheFields count="2">
    <cacheField name="Custome Name" numFmtId="0">
      <sharedItems count="8">
        <s v="Planet Express"/>
        <s v="Mom's Friendly Robot Factory"/>
        <s v="Romanticorp"/>
        <s v="Hal Insitute for Criminally Insane Robots"/>
        <s v="Cookieville Minimum-Security Orphanarium"/>
        <s v="Panucci's Pizza"/>
        <s v="Malfunctioning Eddie's Rocket-Car Emporium"/>
        <s v="Democratic Order of Planets"/>
      </sharedItems>
    </cacheField>
    <cacheField name="Customer No." numFmtId="0">
      <sharedItems containsSemiMixedTypes="0" containsString="0" containsNumber="1" containsInteger="1" minValue="11900" maxValue="12990" count="8">
        <n v="12038"/>
        <n v="12000"/>
        <n v="12990"/>
        <n v="12010"/>
        <n v="11900"/>
        <n v="12933"/>
        <n v="12230"/>
        <n v="12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</r>
  <r>
    <x v="1"/>
    <x v="1"/>
  </r>
  <r>
    <x v="2"/>
    <x v="2"/>
  </r>
  <r>
    <x v="3"/>
    <x v="3"/>
  </r>
  <r>
    <x v="4"/>
    <x v="4"/>
  </r>
  <r>
    <x v="5"/>
    <x v="5"/>
  </r>
  <r>
    <x v="0"/>
    <x v="0"/>
  </r>
  <r>
    <x v="2"/>
    <x v="2"/>
  </r>
  <r>
    <x v="6"/>
    <x v="6"/>
  </r>
  <r>
    <x v="4"/>
    <x v="4"/>
  </r>
  <r>
    <x v="1"/>
    <x v="1"/>
  </r>
  <r>
    <x v="3"/>
    <x v="3"/>
  </r>
  <r>
    <x v="5"/>
    <x v="5"/>
  </r>
  <r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D8C78-16DE-3E4E-9CC2-5BECC7BBD70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0" firstHeaderRow="1" firstDataRow="1" firstDataCol="2"/>
  <pivotFields count="2">
    <pivotField axis="axisRow" compact="0" outline="0" showAll="0">
      <items count="9">
        <item x="4"/>
        <item x="7"/>
        <item x="3"/>
        <item x="6"/>
        <item x="1"/>
        <item x="5"/>
        <item x="0"/>
        <item x="2"/>
        <item t="default"/>
      </items>
    </pivotField>
    <pivotField axis="axisRow" compact="0" outline="0" showAll="0">
      <items count="9">
        <item x="4"/>
        <item x="1"/>
        <item x="7"/>
        <item x="3"/>
        <item x="0"/>
        <item x="6"/>
        <item x="5"/>
        <item x="2"/>
        <item t="default"/>
      </items>
    </pivotField>
  </pivotFields>
  <rowFields count="2">
    <field x="1"/>
    <field x="0"/>
  </rowFields>
  <rowItems count="17">
    <i>
      <x/>
      <x/>
    </i>
    <i t="default">
      <x/>
    </i>
    <i>
      <x v="1"/>
      <x v="4"/>
    </i>
    <i t="default">
      <x v="1"/>
    </i>
    <i>
      <x v="2"/>
      <x v="1"/>
    </i>
    <i t="default">
      <x v="2"/>
    </i>
    <i>
      <x v="3"/>
      <x v="2"/>
    </i>
    <i t="default">
      <x v="3"/>
    </i>
    <i>
      <x v="4"/>
      <x v="6"/>
    </i>
    <i t="default">
      <x v="4"/>
    </i>
    <i>
      <x v="5"/>
      <x v="3"/>
    </i>
    <i t="default">
      <x v="5"/>
    </i>
    <i>
      <x v="6"/>
      <x v="5"/>
    </i>
    <i t="default">
      <x v="6"/>
    </i>
    <i>
      <x v="7"/>
      <x v="7"/>
    </i>
    <i t="default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ABCE-D646-2046-A1F6-340ACB5E043C}">
  <dimension ref="B1:H35"/>
  <sheetViews>
    <sheetView workbookViewId="0">
      <selection activeCell="A3" sqref="A3"/>
    </sheetView>
  </sheetViews>
  <sheetFormatPr baseColWidth="10" defaultRowHeight="16" x14ac:dyDescent="0.2"/>
  <cols>
    <col min="1" max="1" width="18.1640625" customWidth="1"/>
    <col min="2" max="2" width="44.1640625" customWidth="1"/>
    <col min="3" max="3" width="33.83203125" customWidth="1"/>
    <col min="4" max="4" width="35.6640625" customWidth="1"/>
    <col min="8" max="8" width="14" bestFit="1" customWidth="1"/>
  </cols>
  <sheetData>
    <row r="1" spans="2:4" x14ac:dyDescent="0.2">
      <c r="C1">
        <v>2025</v>
      </c>
      <c r="D1">
        <v>2024</v>
      </c>
    </row>
    <row r="2" spans="2:4" x14ac:dyDescent="0.2">
      <c r="B2" t="s">
        <v>0</v>
      </c>
    </row>
    <row r="3" spans="2:4" x14ac:dyDescent="0.2">
      <c r="B3" t="s">
        <v>1</v>
      </c>
      <c r="D3" s="1">
        <v>8589000</v>
      </c>
    </row>
    <row r="4" spans="2:4" x14ac:dyDescent="0.2">
      <c r="B4" t="s">
        <v>2</v>
      </c>
      <c r="D4" s="1">
        <v>23065000</v>
      </c>
    </row>
    <row r="5" spans="2:4" x14ac:dyDescent="0.2">
      <c r="B5" t="s">
        <v>3</v>
      </c>
      <c r="D5" s="1">
        <v>3771000</v>
      </c>
    </row>
    <row r="6" spans="2:4" x14ac:dyDescent="0.2">
      <c r="B6" t="s">
        <v>4</v>
      </c>
      <c r="D6" s="2">
        <f>SUM(D3:D5)</f>
        <v>35425000</v>
      </c>
    </row>
    <row r="7" spans="2:4" x14ac:dyDescent="0.2">
      <c r="B7" t="s">
        <v>5</v>
      </c>
      <c r="D7" s="2">
        <v>6280000</v>
      </c>
    </row>
    <row r="8" spans="2:4" x14ac:dyDescent="0.2">
      <c r="B8" t="s">
        <v>6</v>
      </c>
      <c r="D8" s="2">
        <v>2738000</v>
      </c>
    </row>
    <row r="9" spans="2:4" x14ac:dyDescent="0.2">
      <c r="B9" t="s">
        <v>7</v>
      </c>
      <c r="D9" s="2">
        <f>SUM(D6:D8)</f>
        <v>44443000</v>
      </c>
    </row>
    <row r="11" spans="2:4" x14ac:dyDescent="0.2">
      <c r="B11" t="s">
        <v>8</v>
      </c>
    </row>
    <row r="12" spans="2:4" x14ac:dyDescent="0.2">
      <c r="B12" t="s">
        <v>9</v>
      </c>
      <c r="D12" s="1">
        <v>6310000</v>
      </c>
    </row>
    <row r="13" spans="2:4" x14ac:dyDescent="0.2">
      <c r="B13" t="s">
        <v>10</v>
      </c>
      <c r="D13" s="1">
        <v>11737000</v>
      </c>
    </row>
    <row r="14" spans="2:4" x14ac:dyDescent="0.2">
      <c r="B14" t="s">
        <v>11</v>
      </c>
      <c r="D14" s="1">
        <v>0</v>
      </c>
    </row>
    <row r="15" spans="2:4" x14ac:dyDescent="0.2">
      <c r="B15" t="s">
        <v>13</v>
      </c>
      <c r="D15" s="2">
        <f>SUM(D12:D14)</f>
        <v>18047000</v>
      </c>
    </row>
    <row r="16" spans="2:4" x14ac:dyDescent="0.2">
      <c r="B16" t="s">
        <v>12</v>
      </c>
      <c r="D16" s="2">
        <v>0</v>
      </c>
    </row>
    <row r="17" spans="2:8" x14ac:dyDescent="0.2">
      <c r="B17" t="s">
        <v>14</v>
      </c>
      <c r="D17" s="2">
        <f>SUM(D15:D16)</f>
        <v>18047000</v>
      </c>
    </row>
    <row r="18" spans="2:8" x14ac:dyDescent="0.2">
      <c r="H18" s="2"/>
    </row>
    <row r="19" spans="2:8" x14ac:dyDescent="0.2">
      <c r="B19" t="s">
        <v>15</v>
      </c>
    </row>
    <row r="20" spans="2:8" x14ac:dyDescent="0.2">
      <c r="B20" t="s">
        <v>16</v>
      </c>
      <c r="D20" s="1">
        <v>500000</v>
      </c>
    </row>
    <row r="21" spans="2:8" x14ac:dyDescent="0.2">
      <c r="B21" t="s">
        <v>27</v>
      </c>
      <c r="D21" s="1">
        <v>11237000</v>
      </c>
    </row>
    <row r="22" spans="2:8" x14ac:dyDescent="0.2">
      <c r="B22" t="s">
        <v>17</v>
      </c>
      <c r="D22" s="1">
        <v>14659000</v>
      </c>
    </row>
    <row r="26" spans="2:8" x14ac:dyDescent="0.2">
      <c r="B26" t="s">
        <v>18</v>
      </c>
      <c r="D26" s="1">
        <v>130497000</v>
      </c>
    </row>
    <row r="27" spans="2:8" x14ac:dyDescent="0.2">
      <c r="B27" t="s">
        <v>19</v>
      </c>
      <c r="D27" s="2">
        <f>D26</f>
        <v>130497000</v>
      </c>
    </row>
    <row r="28" spans="2:8" x14ac:dyDescent="0.2">
      <c r="B28" t="s">
        <v>20</v>
      </c>
      <c r="D28" s="1">
        <v>12914000</v>
      </c>
    </row>
    <row r="29" spans="2:8" x14ac:dyDescent="0.2">
      <c r="B29" t="s">
        <v>21</v>
      </c>
      <c r="D29" s="1">
        <v>36130000</v>
      </c>
    </row>
    <row r="30" spans="2:8" x14ac:dyDescent="0.2">
      <c r="B30" t="s">
        <v>22</v>
      </c>
      <c r="D30" s="2">
        <f>D28+D29</f>
        <v>49044000</v>
      </c>
    </row>
    <row r="31" spans="2:8" x14ac:dyDescent="0.2">
      <c r="B31" t="s">
        <v>28</v>
      </c>
      <c r="D31" s="2">
        <f>D26-D30</f>
        <v>81453000</v>
      </c>
    </row>
    <row r="32" spans="2:8" x14ac:dyDescent="0.2">
      <c r="B32" t="s">
        <v>23</v>
      </c>
      <c r="D32">
        <v>0</v>
      </c>
    </row>
    <row r="33" spans="2:4" x14ac:dyDescent="0.2">
      <c r="B33" t="s">
        <v>24</v>
      </c>
      <c r="D33" s="2">
        <v>0</v>
      </c>
    </row>
    <row r="34" spans="2:4" x14ac:dyDescent="0.2">
      <c r="B34" t="s">
        <v>25</v>
      </c>
      <c r="D34" s="2">
        <v>20363250</v>
      </c>
    </row>
    <row r="35" spans="2:4" x14ac:dyDescent="0.2">
      <c r="B35" t="s">
        <v>26</v>
      </c>
      <c r="D35" s="2">
        <f>D31-D34</f>
        <v>61089750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49DE-0B47-3643-9E56-043CA5A2C1C0}">
  <dimension ref="A1"/>
  <sheetViews>
    <sheetView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8F92-12C5-CD41-ADCC-65A0134A9DB7}">
  <dimension ref="A3:B20"/>
  <sheetViews>
    <sheetView workbookViewId="0">
      <selection activeCell="A4" sqref="A4:B19"/>
    </sheetView>
  </sheetViews>
  <sheetFormatPr baseColWidth="10" defaultRowHeight="16" x14ac:dyDescent="0.2"/>
  <cols>
    <col min="1" max="1" width="41.33203125" bestFit="1" customWidth="1"/>
    <col min="2" max="2" width="38.1640625" bestFit="1" customWidth="1"/>
  </cols>
  <sheetData>
    <row r="3" spans="1:2" x14ac:dyDescent="0.2">
      <c r="A3" s="3" t="s">
        <v>30</v>
      </c>
      <c r="B3" s="3" t="s">
        <v>34</v>
      </c>
    </row>
    <row r="4" spans="1:2" x14ac:dyDescent="0.2">
      <c r="A4">
        <v>11900</v>
      </c>
      <c r="B4" t="s">
        <v>51</v>
      </c>
    </row>
    <row r="5" spans="1:2" x14ac:dyDescent="0.2">
      <c r="A5" t="s">
        <v>69</v>
      </c>
    </row>
    <row r="6" spans="1:2" x14ac:dyDescent="0.2">
      <c r="A6">
        <v>12000</v>
      </c>
      <c r="B6" t="s">
        <v>42</v>
      </c>
    </row>
    <row r="7" spans="1:2" x14ac:dyDescent="0.2">
      <c r="A7" t="s">
        <v>70</v>
      </c>
    </row>
    <row r="8" spans="1:2" x14ac:dyDescent="0.2">
      <c r="A8">
        <v>12001</v>
      </c>
      <c r="B8" t="s">
        <v>66</v>
      </c>
    </row>
    <row r="9" spans="1:2" x14ac:dyDescent="0.2">
      <c r="A9" t="s">
        <v>71</v>
      </c>
    </row>
    <row r="10" spans="1:2" x14ac:dyDescent="0.2">
      <c r="A10">
        <v>12010</v>
      </c>
      <c r="B10" t="s">
        <v>48</v>
      </c>
    </row>
    <row r="11" spans="1:2" x14ac:dyDescent="0.2">
      <c r="A11" t="s">
        <v>72</v>
      </c>
    </row>
    <row r="12" spans="1:2" x14ac:dyDescent="0.2">
      <c r="A12">
        <v>12038</v>
      </c>
      <c r="B12" t="s">
        <v>39</v>
      </c>
    </row>
    <row r="13" spans="1:2" x14ac:dyDescent="0.2">
      <c r="A13" t="s">
        <v>73</v>
      </c>
    </row>
    <row r="14" spans="1:2" x14ac:dyDescent="0.2">
      <c r="A14">
        <v>12230</v>
      </c>
      <c r="B14" t="s">
        <v>59</v>
      </c>
    </row>
    <row r="15" spans="1:2" x14ac:dyDescent="0.2">
      <c r="A15" t="s">
        <v>74</v>
      </c>
    </row>
    <row r="16" spans="1:2" x14ac:dyDescent="0.2">
      <c r="A16">
        <v>12933</v>
      </c>
      <c r="B16" t="s">
        <v>54</v>
      </c>
    </row>
    <row r="17" spans="1:2" x14ac:dyDescent="0.2">
      <c r="A17" t="s">
        <v>75</v>
      </c>
    </row>
    <row r="18" spans="1:2" x14ac:dyDescent="0.2">
      <c r="A18">
        <v>12990</v>
      </c>
      <c r="B18" t="s">
        <v>45</v>
      </c>
    </row>
    <row r="19" spans="1:2" x14ac:dyDescent="0.2">
      <c r="A19" t="s">
        <v>76</v>
      </c>
    </row>
    <row r="20" spans="1:2" x14ac:dyDescent="0.2">
      <c r="A20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0F70-765A-5244-BA28-C62A0087C3F9}">
  <dimension ref="A1:I15"/>
  <sheetViews>
    <sheetView workbookViewId="0">
      <selection activeCell="C10" sqref="C10"/>
    </sheetView>
  </sheetViews>
  <sheetFormatPr baseColWidth="10" defaultRowHeight="16" x14ac:dyDescent="0.2"/>
  <cols>
    <col min="3" max="3" width="38.33203125" customWidth="1"/>
    <col min="4" max="4" width="12.33203125" bestFit="1" customWidth="1"/>
    <col min="8" max="8" width="13.33203125" customWidth="1"/>
  </cols>
  <sheetData>
    <row r="1" spans="1:9" x14ac:dyDescent="0.2">
      <c r="A1" t="s">
        <v>31</v>
      </c>
      <c r="B1" t="s">
        <v>29</v>
      </c>
      <c r="C1" t="s">
        <v>34</v>
      </c>
      <c r="D1" t="s">
        <v>30</v>
      </c>
      <c r="E1" t="s">
        <v>32</v>
      </c>
      <c r="F1" t="s">
        <v>33</v>
      </c>
      <c r="G1" t="s">
        <v>35</v>
      </c>
      <c r="H1" t="s">
        <v>36</v>
      </c>
      <c r="I1" t="s">
        <v>37</v>
      </c>
    </row>
    <row r="2" spans="1:9" x14ac:dyDescent="0.2">
      <c r="A2">
        <v>1</v>
      </c>
      <c r="B2" t="s">
        <v>38</v>
      </c>
      <c r="C2" t="s">
        <v>39</v>
      </c>
      <c r="D2">
        <v>12038</v>
      </c>
      <c r="E2">
        <v>50000</v>
      </c>
      <c r="F2" t="s">
        <v>40</v>
      </c>
    </row>
    <row r="3" spans="1:9" x14ac:dyDescent="0.2">
      <c r="A3">
        <v>2</v>
      </c>
      <c r="B3" t="s">
        <v>41</v>
      </c>
      <c r="C3" t="s">
        <v>42</v>
      </c>
      <c r="D3">
        <v>12000</v>
      </c>
      <c r="E3">
        <v>100000</v>
      </c>
      <c r="F3" t="s">
        <v>43</v>
      </c>
    </row>
    <row r="4" spans="1:9" x14ac:dyDescent="0.2">
      <c r="A4">
        <v>3</v>
      </c>
      <c r="B4" t="s">
        <v>44</v>
      </c>
      <c r="C4" t="s">
        <v>45</v>
      </c>
      <c r="D4">
        <v>12990</v>
      </c>
      <c r="E4">
        <v>73640</v>
      </c>
      <c r="F4" t="s">
        <v>46</v>
      </c>
    </row>
    <row r="5" spans="1:9" x14ac:dyDescent="0.2">
      <c r="A5">
        <v>4</v>
      </c>
      <c r="B5" t="s">
        <v>47</v>
      </c>
      <c r="C5" t="s">
        <v>48</v>
      </c>
      <c r="D5">
        <v>12010</v>
      </c>
      <c r="E5">
        <v>12500</v>
      </c>
      <c r="F5" t="s">
        <v>49</v>
      </c>
    </row>
    <row r="6" spans="1:9" x14ac:dyDescent="0.2">
      <c r="A6">
        <v>5</v>
      </c>
      <c r="B6" t="s">
        <v>50</v>
      </c>
      <c r="C6" t="s">
        <v>51</v>
      </c>
      <c r="D6">
        <v>11900</v>
      </c>
      <c r="E6">
        <v>10000</v>
      </c>
      <c r="F6" t="s">
        <v>52</v>
      </c>
    </row>
    <row r="7" spans="1:9" x14ac:dyDescent="0.2">
      <c r="A7">
        <v>6</v>
      </c>
      <c r="B7" t="s">
        <v>53</v>
      </c>
      <c r="C7" t="s">
        <v>54</v>
      </c>
      <c r="D7">
        <v>12933</v>
      </c>
      <c r="E7">
        <v>1000</v>
      </c>
      <c r="F7" t="s">
        <v>55</v>
      </c>
    </row>
    <row r="8" spans="1:9" x14ac:dyDescent="0.2">
      <c r="A8">
        <v>7</v>
      </c>
      <c r="B8" t="s">
        <v>57</v>
      </c>
      <c r="C8" t="s">
        <v>39</v>
      </c>
      <c r="D8">
        <v>12038</v>
      </c>
      <c r="E8">
        <v>12300</v>
      </c>
      <c r="F8" t="s">
        <v>56</v>
      </c>
    </row>
    <row r="9" spans="1:9" x14ac:dyDescent="0.2">
      <c r="A9">
        <v>8</v>
      </c>
      <c r="B9" t="s">
        <v>57</v>
      </c>
      <c r="C9" t="s">
        <v>45</v>
      </c>
      <c r="D9">
        <v>12990</v>
      </c>
      <c r="E9">
        <v>50000</v>
      </c>
      <c r="F9" t="s">
        <v>56</v>
      </c>
    </row>
    <row r="10" spans="1:9" x14ac:dyDescent="0.2">
      <c r="A10">
        <v>9</v>
      </c>
      <c r="B10" t="s">
        <v>58</v>
      </c>
      <c r="C10" t="s">
        <v>59</v>
      </c>
      <c r="D10">
        <v>12230</v>
      </c>
      <c r="E10">
        <v>76000</v>
      </c>
      <c r="F10" t="s">
        <v>60</v>
      </c>
    </row>
    <row r="11" spans="1:9" x14ac:dyDescent="0.2">
      <c r="A11">
        <v>10</v>
      </c>
      <c r="B11" t="s">
        <v>40</v>
      </c>
      <c r="C11" t="s">
        <v>51</v>
      </c>
      <c r="D11">
        <v>11900</v>
      </c>
      <c r="E11">
        <v>80000</v>
      </c>
      <c r="F11" t="s">
        <v>40</v>
      </c>
    </row>
    <row r="12" spans="1:9" x14ac:dyDescent="0.2">
      <c r="A12">
        <v>11</v>
      </c>
      <c r="B12" t="s">
        <v>61</v>
      </c>
      <c r="C12" t="s">
        <v>42</v>
      </c>
      <c r="D12">
        <v>12000</v>
      </c>
      <c r="E12">
        <v>200000</v>
      </c>
      <c r="F12" t="s">
        <v>62</v>
      </c>
    </row>
    <row r="13" spans="1:9" x14ac:dyDescent="0.2">
      <c r="A13">
        <v>12</v>
      </c>
      <c r="B13" t="s">
        <v>46</v>
      </c>
      <c r="C13" t="s">
        <v>48</v>
      </c>
      <c r="D13">
        <v>12010</v>
      </c>
      <c r="E13">
        <v>12500</v>
      </c>
      <c r="F13" t="s">
        <v>63</v>
      </c>
    </row>
    <row r="14" spans="1:9" x14ac:dyDescent="0.2">
      <c r="A14">
        <v>13</v>
      </c>
      <c r="B14" t="s">
        <v>64</v>
      </c>
      <c r="C14" t="s">
        <v>54</v>
      </c>
      <c r="D14">
        <v>12933</v>
      </c>
      <c r="E14">
        <v>1000</v>
      </c>
      <c r="F14" t="s">
        <v>65</v>
      </c>
    </row>
    <row r="15" spans="1:9" x14ac:dyDescent="0.2">
      <c r="A15">
        <v>14</v>
      </c>
      <c r="B15" t="s">
        <v>49</v>
      </c>
      <c r="C15" t="s">
        <v>66</v>
      </c>
      <c r="D15">
        <v>12001</v>
      </c>
      <c r="E15">
        <v>120000</v>
      </c>
      <c r="F1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B4A3-F908-1741-AEA9-BDFE2AAFF611}">
  <dimension ref="A1:F9"/>
  <sheetViews>
    <sheetView workbookViewId="0">
      <selection activeCell="J22" sqref="J22"/>
    </sheetView>
  </sheetViews>
  <sheetFormatPr baseColWidth="10" defaultRowHeight="16" x14ac:dyDescent="0.2"/>
  <cols>
    <col min="2" max="2" width="38.1640625" bestFit="1" customWidth="1"/>
  </cols>
  <sheetData>
    <row r="1" spans="1:6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x14ac:dyDescent="0.2">
      <c r="A2">
        <v>11900</v>
      </c>
      <c r="B2" t="s">
        <v>51</v>
      </c>
      <c r="C2" t="s">
        <v>83</v>
      </c>
      <c r="E2">
        <v>30</v>
      </c>
      <c r="F2" t="s">
        <v>93</v>
      </c>
    </row>
    <row r="3" spans="1:6" x14ac:dyDescent="0.2">
      <c r="A3">
        <v>12000</v>
      </c>
      <c r="B3" t="s">
        <v>42</v>
      </c>
      <c r="C3" t="s">
        <v>84</v>
      </c>
      <c r="E3">
        <v>30</v>
      </c>
      <c r="F3" t="s">
        <v>93</v>
      </c>
    </row>
    <row r="4" spans="1:6" x14ac:dyDescent="0.2">
      <c r="A4">
        <v>12001</v>
      </c>
      <c r="B4" t="s">
        <v>66</v>
      </c>
      <c r="C4" t="s">
        <v>85</v>
      </c>
      <c r="E4">
        <v>30</v>
      </c>
      <c r="F4" t="s">
        <v>93</v>
      </c>
    </row>
    <row r="5" spans="1:6" x14ac:dyDescent="0.2">
      <c r="A5">
        <v>12010</v>
      </c>
      <c r="B5" t="s">
        <v>48</v>
      </c>
      <c r="C5" t="s">
        <v>87</v>
      </c>
      <c r="E5">
        <v>30</v>
      </c>
      <c r="F5" t="s">
        <v>93</v>
      </c>
    </row>
    <row r="6" spans="1:6" x14ac:dyDescent="0.2">
      <c r="A6">
        <v>12038</v>
      </c>
      <c r="B6" t="s">
        <v>39</v>
      </c>
      <c r="C6" t="s">
        <v>88</v>
      </c>
      <c r="E6">
        <v>10</v>
      </c>
      <c r="F6" t="s">
        <v>93</v>
      </c>
    </row>
    <row r="7" spans="1:6" x14ac:dyDescent="0.2">
      <c r="A7">
        <v>12230</v>
      </c>
      <c r="B7" t="s">
        <v>59</v>
      </c>
      <c r="C7" t="s">
        <v>89</v>
      </c>
      <c r="D7" t="s">
        <v>90</v>
      </c>
      <c r="E7">
        <v>30</v>
      </c>
      <c r="F7" t="s">
        <v>93</v>
      </c>
    </row>
    <row r="8" spans="1:6" x14ac:dyDescent="0.2">
      <c r="A8">
        <v>12933</v>
      </c>
      <c r="B8" t="s">
        <v>54</v>
      </c>
      <c r="C8" t="s">
        <v>91</v>
      </c>
      <c r="E8">
        <v>30</v>
      </c>
      <c r="F8" t="s">
        <v>93</v>
      </c>
    </row>
    <row r="9" spans="1:6" x14ac:dyDescent="0.2">
      <c r="A9">
        <v>12990</v>
      </c>
      <c r="B9" t="s">
        <v>45</v>
      </c>
      <c r="C9" t="s">
        <v>92</v>
      </c>
      <c r="E9">
        <v>30</v>
      </c>
      <c r="F9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3250-FDFA-A24D-BDC8-A2E78F64D479}">
  <dimension ref="A1:E10"/>
  <sheetViews>
    <sheetView tabSelected="1" workbookViewId="0">
      <selection activeCell="F41" sqref="F41"/>
    </sheetView>
  </sheetViews>
  <sheetFormatPr baseColWidth="10" defaultRowHeight="16" x14ac:dyDescent="0.2"/>
  <cols>
    <col min="1" max="1" width="12.1640625" bestFit="1" customWidth="1"/>
    <col min="2" max="2" width="16.5" customWidth="1"/>
    <col min="3" max="3" width="16.6640625" customWidth="1"/>
    <col min="4" max="4" width="19.33203125" customWidth="1"/>
    <col min="5" max="5" width="34.83203125" bestFit="1" customWidth="1"/>
  </cols>
  <sheetData>
    <row r="1" spans="1:5" x14ac:dyDescent="0.2">
      <c r="A1" t="s">
        <v>94</v>
      </c>
      <c r="B1" t="s">
        <v>95</v>
      </c>
      <c r="C1" t="s">
        <v>36</v>
      </c>
      <c r="D1" t="s">
        <v>96</v>
      </c>
      <c r="E1" t="s">
        <v>97</v>
      </c>
    </row>
    <row r="2" spans="1:5" x14ac:dyDescent="0.2">
      <c r="A2">
        <v>1</v>
      </c>
      <c r="B2">
        <v>948347</v>
      </c>
      <c r="C2" t="s">
        <v>86</v>
      </c>
      <c r="D2">
        <v>25000</v>
      </c>
      <c r="E2" t="s">
        <v>98</v>
      </c>
    </row>
    <row r="3" spans="1:5" x14ac:dyDescent="0.2">
      <c r="A3">
        <v>2</v>
      </c>
      <c r="B3">
        <v>34847</v>
      </c>
      <c r="C3" t="s">
        <v>99</v>
      </c>
      <c r="D3">
        <v>100000</v>
      </c>
      <c r="E3" t="s">
        <v>100</v>
      </c>
    </row>
    <row r="4" spans="1:5" x14ac:dyDescent="0.2">
      <c r="A4">
        <v>3</v>
      </c>
      <c r="B4">
        <v>29304</v>
      </c>
      <c r="C4" t="s">
        <v>101</v>
      </c>
      <c r="D4">
        <v>12500</v>
      </c>
      <c r="E4" t="s">
        <v>102</v>
      </c>
    </row>
    <row r="5" spans="1:5" x14ac:dyDescent="0.2">
      <c r="A5">
        <v>4</v>
      </c>
      <c r="B5">
        <v>3837459</v>
      </c>
      <c r="C5" t="s">
        <v>46</v>
      </c>
      <c r="D5">
        <v>10000</v>
      </c>
      <c r="E5" t="s">
        <v>103</v>
      </c>
    </row>
    <row r="6" spans="1:5" x14ac:dyDescent="0.2">
      <c r="A6">
        <v>5</v>
      </c>
      <c r="B6">
        <v>390576</v>
      </c>
      <c r="C6" t="s">
        <v>105</v>
      </c>
      <c r="D6">
        <v>76000</v>
      </c>
      <c r="E6" t="s">
        <v>104</v>
      </c>
    </row>
    <row r="7" spans="1:5" x14ac:dyDescent="0.2">
      <c r="A7">
        <v>6</v>
      </c>
      <c r="B7">
        <v>302947</v>
      </c>
      <c r="C7" t="s">
        <v>49</v>
      </c>
      <c r="D7">
        <v>25000</v>
      </c>
      <c r="E7" t="s">
        <v>106</v>
      </c>
    </row>
    <row r="8" spans="1:5" x14ac:dyDescent="0.2">
      <c r="A8">
        <v>7</v>
      </c>
      <c r="B8">
        <v>39506</v>
      </c>
      <c r="C8" t="s">
        <v>108</v>
      </c>
      <c r="D8">
        <v>1000</v>
      </c>
      <c r="E8" t="s">
        <v>107</v>
      </c>
    </row>
    <row r="9" spans="1:5" x14ac:dyDescent="0.2">
      <c r="A9">
        <v>8</v>
      </c>
      <c r="B9">
        <v>2394759</v>
      </c>
      <c r="C9" t="s">
        <v>109</v>
      </c>
      <c r="D9">
        <v>76000</v>
      </c>
      <c r="E9" t="s">
        <v>110</v>
      </c>
    </row>
    <row r="10" spans="1:5" x14ac:dyDescent="0.2">
      <c r="A10">
        <v>9</v>
      </c>
      <c r="B10">
        <v>390475</v>
      </c>
      <c r="C10" t="s">
        <v>111</v>
      </c>
      <c r="D10">
        <v>80000</v>
      </c>
      <c r="E1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Statements</vt:lpstr>
      <vt:lpstr>Transaction Listing</vt:lpstr>
      <vt:lpstr>Sheet5</vt:lpstr>
      <vt:lpstr>Accounts receivable ledger</vt:lpstr>
      <vt:lpstr>Customers</vt:lpstr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Al-Gurnawi</dc:creator>
  <cp:lastModifiedBy>David Al-Gurnawi</cp:lastModifiedBy>
  <dcterms:created xsi:type="dcterms:W3CDTF">2025-12-01T13:46:23Z</dcterms:created>
  <dcterms:modified xsi:type="dcterms:W3CDTF">2025-12-01T15:12:16Z</dcterms:modified>
</cp:coreProperties>
</file>